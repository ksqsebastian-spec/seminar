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1a80a2d8ed4d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kulation" sheetId="1" r:id="R11d976d9e72e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.00 &quot;€&quot;"/>
  </x:numFmts>
  <x:fonts count="4">
    <x:font>
      <x:sz val="11"/>
      <x:name val="Carlito"/>
    </x:font>
    <x:font>
      <x:sz val="11"/>
      <x:name val="Arial"/>
    </x:font>
    <x:font>
      <x:b/>
      <x:sz val="2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1E8FF"/>
      </x:patternFill>
    </x:fill>
    <x:fill>
      <x:patternFill patternType="solid">
        <x:fgColor rgb="FF17151B"/>
      </x:patternFill>
    </x:fill>
    <x:fill>
      <x:patternFill patternType="solid">
        <x:fgColor rgb="FFDDF3B5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201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1" fillId="4" borderId="0" xfId="0" applyNumberFormat="1" applyFont="1" applyFill="1" applyBorder="1"/>
    <x:xf numFmtId="201" fontId="1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1a09b3ed24fcd" /><Relationship Type="http://schemas.openxmlformats.org/officeDocument/2006/relationships/theme" Target="/xl/theme/theme1.xml" Id="Re66150e22fe646ec" /><Relationship Type="http://schemas.openxmlformats.org/officeDocument/2006/relationships/sharedStrings" Target="/xl/sharedStrings.xml" Id="Rfa7dbda03b804d7a" /><Relationship Type="http://schemas.openxmlformats.org/officeDocument/2006/relationships/worksheet" Target="/xl/worksheets/sheet1.xml" Id="R11d976d9e72e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</x:cols>
  <x:sheetData>
    <x:row r="1" ht="28" customHeight="1">
      <x:c r="A1" s="2" t="str">
        <x:v>Unser Büroschrank · Kalkulation</x:v>
      </x:c>
      <x:c r="B1" s="1"/>
      <x:c r="C1" s="1"/>
      <x:c r="D1" s="1"/>
      <x:c r="E1" s="1"/>
    </x:row>
    <x:row r="2" ht="28" customHeight="1">
      <x:c r="A2" s="1" t="str">
        <x:v>Fiktive Startwerte. Ersetze Materialpreise durch deine geprüfte Recherche.</x:v>
      </x:c>
      <x:c r="B2" s="1"/>
      <x:c r="C2" s="1"/>
      <x:c r="D2" s="1"/>
      <x:c r="E2" s="1"/>
    </x:row>
    <x:row r="3" ht="28" customHeight="1">
      <x:c r="A3" s="1"/>
      <x:c r="B3" s="1"/>
      <x:c r="C3" s="1"/>
      <x:c r="D3" s="1"/>
      <x:c r="E3" s="1"/>
    </x:row>
    <x:row r="4" ht="28" customHeight="1">
      <x:c r="A4" s="9" t="str">
        <x:v>Position</x:v>
      </x:c>
      <x:c r="B4" s="9" t="str">
        <x:v>Menge</x:v>
      </x:c>
      <x:c r="C4" s="9" t="str">
        <x:v>Einheit</x:v>
      </x:c>
      <x:c r="D4" s="9" t="str">
        <x:v>Preis netto</x:v>
      </x:c>
      <x:c r="E4" s="9" t="str">
        <x:v>Gesamt netto</x:v>
      </x:c>
    </x:row>
    <x:row r="5" ht="28" customHeight="1">
      <x:c r="A5" s="1" t="str">
        <x:v>Materialplatten</x:v>
      </x:c>
      <x:c r="B5" s="5" t="n">
        <x:v>8</x:v>
      </x:c>
      <x:c r="C5" s="5" t="str">
        <x:v>Stück</x:v>
      </x:c>
      <x:c r="D5" s="6" t="n">
        <x:v>45</x:v>
      </x:c>
      <x:c r="E5" s="4" t="n">
        <x:f>B5*D5</x:f>
        <x:v>360</x:v>
      </x:c>
    </x:row>
    <x:row r="6" ht="28" customHeight="1">
      <x:c r="A6" s="1" t="str">
        <x:v>Beschläge</x:v>
      </x:c>
      <x:c r="B6" s="5" t="n">
        <x:v>1</x:v>
      </x:c>
      <x:c r="C6" s="5" t="str">
        <x:v>Satz</x:v>
      </x:c>
      <x:c r="D6" s="6" t="n">
        <x:v>120</x:v>
      </x:c>
      <x:c r="E6" s="4" t="n">
        <x:f>B6*D6</x:f>
        <x:v>120</x:v>
      </x:c>
    </x:row>
    <x:row r="7" ht="28" customHeight="1">
      <x:c r="A7" s="1" t="str">
        <x:v>Arbeitszeit</x:v>
      </x:c>
      <x:c r="B7" s="5" t="n">
        <x:v>8</x:v>
      </x:c>
      <x:c r="C7" s="5" t="str">
        <x:v>Stunden</x:v>
      </x:c>
      <x:c r="D7" s="6" t="n">
        <x:v>65</x:v>
      </x:c>
      <x:c r="E7" s="4" t="n">
        <x:f>B7*D7</x:f>
        <x:v>520</x:v>
      </x:c>
    </x:row>
    <x:row r="8" ht="28" customHeight="1">
      <x:c r="A8" s="1" t="str">
        <x:v>Transport</x:v>
      </x:c>
      <x:c r="B8" s="5" t="n">
        <x:v>1</x:v>
      </x:c>
      <x:c r="C8" s="5" t="str">
        <x:v>Pauschale</x:v>
      </x:c>
      <x:c r="D8" s="6" t="n">
        <x:v>80</x:v>
      </x:c>
      <x:c r="E8" s="4" t="n">
        <x:f>B8*D8</x:f>
        <x:v>80</x:v>
      </x:c>
    </x:row>
    <x:row r="9" ht="28" customHeight="1">
      <x:c r="A9" s="1"/>
      <x:c r="B9" s="1"/>
      <x:c r="C9" s="1"/>
      <x:c r="D9" s="4"/>
      <x:c r="E9" s="4"/>
    </x:row>
    <x:row r="10" ht="28" customHeight="1">
      <x:c r="A10" s="1" t="str">
        <x:v>Kosten</x:v>
      </x:c>
      <x:c r="B10" s="1"/>
      <x:c r="C10" s="1"/>
      <x:c r="D10" s="4"/>
      <x:c r="E10" s="4" t="n">
        <x:f>SUM(E5:E8)</x:f>
        <x:v>1080</x:v>
      </x:c>
    </x:row>
    <x:row r="11" ht="28" customHeight="1">
      <x:c r="A11" s="1" t="str">
        <x:v>Aufschlag</x:v>
      </x:c>
      <x:c r="B11" s="7" t="n">
        <x:v>0.2</x:v>
      </x:c>
      <x:c r="C11" s="1"/>
      <x:c r="D11" s="4"/>
      <x:c r="E11" s="4" t="n">
        <x:f>E10*B11</x:f>
        <x:v>216</x:v>
      </x:c>
    </x:row>
    <x:row r="12" ht="28" customHeight="1">
      <x:c r="A12" s="1" t="str">
        <x:v>Angebot netto</x:v>
      </x:c>
      <x:c r="B12" s="1"/>
      <x:c r="C12" s="1"/>
      <x:c r="D12" s="4"/>
      <x:c r="E12" s="4" t="n">
        <x:f>E10+E11</x:f>
        <x:v>1296</x:v>
      </x:c>
    </x:row>
    <x:row r="13" ht="28" customHeight="1">
      <x:c r="A13" s="1" t="str">
        <x:v>USt. (Übung)</x:v>
      </x:c>
      <x:c r="B13" s="7" t="n">
        <x:v>0.19</x:v>
      </x:c>
      <x:c r="C13" s="1"/>
      <x:c r="D13" s="4"/>
      <x:c r="E13" s="4" t="n">
        <x:f>E12*B13</x:f>
        <x:v>246.24</x:v>
      </x:c>
    </x:row>
    <x:row r="14" ht="28" customHeight="1">
      <x:c r="A14" s="10" t="str">
        <x:v>Angebot brutto</x:v>
      </x:c>
      <x:c r="B14" s="10"/>
      <x:c r="C14" s="10"/>
      <x:c r="D14" s="11"/>
      <x:c r="E14" s="11" t="n">
        <x:f>E12+E13</x:f>
        <x:v>1542.24</x:v>
      </x:c>
    </x:row>
    <x:row r="15" ht="28" customHeight="1">
      <x:c r="A15" s="1"/>
      <x:c r="B15" s="1"/>
      <x:c r="C15" s="1"/>
      <x:c r="D15" s="1"/>
      <x:c r="E15" s="1"/>
    </x:row>
    <x:row r="16" ht="28" customHeight="1">
      <x:c r="A16" s="1" t="str">
        <x:v>Recherche: Produktlink, Abrufdatum und Preisbasis im Projekt sichern.</x:v>
      </x:c>
      <x:c r="B16" s="1"/>
      <x:c r="C16" s="1"/>
      <x:c r="D16" s="1"/>
      <x:c r="E16" s="1"/>
    </x:row>
    <x:row r="17" ht="28" customHeight="1">
      <x:c r="A17" s="1" t="str">
        <x:v>Bruttopreis vor Übernahme in Spalte D auf die passende Nettobasis bringen.</x:v>
      </x:c>
      <x:c r="B17" s="1"/>
      <x:c r="C17" s="1"/>
      <x:c r="D17" s="1"/>
      <x:c r="E17" s="1"/>
    </x:row>
    <x:row r="18" ht="28" customHeight="1">
      <x:c r="A18" s="1" t="str">
        <x:v>Übungsmenge ist keine Zuschnittplanung. Maße und technische Eignung prüfen.</x:v>
      </x:c>
      <x:c r="B18" s="1"/>
      <x:c r="C18" s="1"/>
      <x:c r="D18" s="1"/>
      <x:c r="E18" s="1"/>
    </x:row>
    <x:row r="19" ht="28" customHeight="1">
      <x:c r="A19" s="1" t="str">
        <x:v>Szenario: B7 von 8 auf 10 ändern. Alle Formeln bleiben erhalten.</x:v>
      </x:c>
      <x:c r="B19" s="1"/>
      <x:c r="C19" s="1"/>
      <x:c r="D19" s="1"/>
      <x:c r="E19" s="1"/>
    </x:row>
    <x:row r="20" ht="28" customHeight="1">
      <x:c r="A20" s="1"/>
      <x:c r="B20" s="1"/>
      <x:c r="C20" s="1"/>
      <x:c r="D20" s="1"/>
      <x:c r="E20" s="1"/>
    </x:row>
  </x:sheetData>
  <x:mergeCells>
    <x:mergeCell ref="A1:E1"/>
    <x:mergeCell ref="A2:E2"/>
    <x:mergeCell ref="A16:E16"/>
    <x:mergeCell ref="A17:E17"/>
    <x:mergeCell ref="A18:E18"/>
    <x:mergeCell ref="A19:E19"/>
  </x:mergeCells>
  <x:pageMargins left="0.7" right="0.7" top="0.75" bottom="0.75" header="0.3" footer="0.3"/>
</x:worksheet>
</file>